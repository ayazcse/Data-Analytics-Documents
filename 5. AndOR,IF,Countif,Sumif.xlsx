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Document\"/>
    </mc:Choice>
  </mc:AlternateContent>
  <xr:revisionPtr revIDLastSave="0" documentId="8_{30DEE07D-9042-401F-B9B8-A04DAF227621}" xr6:coauthVersionLast="47" xr6:coauthVersionMax="47" xr10:uidLastSave="{00000000-0000-0000-0000-000000000000}"/>
  <bookViews>
    <workbookView xWindow="-108" yWindow="-108" windowWidth="23256" windowHeight="12456" xr2:uid="{EE904AF2-E1B6-4B43-963B-F1EEE434CE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2" i="1" l="1"/>
  <c r="D53" i="1"/>
  <c r="D51" i="1"/>
  <c r="C52" i="1"/>
  <c r="C53" i="1"/>
  <c r="C51" i="1"/>
  <c r="B52" i="1"/>
  <c r="B53" i="1"/>
  <c r="B51" i="1"/>
  <c r="B43" i="1"/>
  <c r="C41" i="1"/>
  <c r="D41" i="1"/>
  <c r="C40" i="1"/>
  <c r="D40" i="1"/>
  <c r="B41" i="1"/>
  <c r="B40" i="1"/>
  <c r="C39" i="1"/>
  <c r="D39" i="1"/>
  <c r="B39" i="1"/>
  <c r="E28" i="1" a="1"/>
  <c r="E28" i="1" s="1"/>
  <c r="F19" i="1"/>
  <c r="G19" i="1"/>
  <c r="F20" i="1"/>
  <c r="F29" i="1" s="1" a="1"/>
  <c r="F29" i="1" s="1"/>
  <c r="F21" i="1"/>
  <c r="F22" i="1"/>
  <c r="F23" i="1"/>
  <c r="F28" i="1" a="1"/>
  <c r="F28" i="1" s="1"/>
  <c r="F30" i="1" a="1"/>
  <c r="F30" i="1" s="1"/>
  <c r="F31" i="1" a="1"/>
  <c r="F31" i="1" s="1"/>
  <c r="F32" i="1" a="1"/>
  <c r="F32" i="1" s="1"/>
  <c r="E29" i="1" a="1"/>
  <c r="E29" i="1" s="1"/>
  <c r="E20" i="1"/>
  <c r="E21" i="1"/>
  <c r="E30" i="1" s="1" a="1"/>
  <c r="E30" i="1" s="1"/>
  <c r="E22" i="1"/>
  <c r="E31" i="1" s="1" a="1"/>
  <c r="E31" i="1" s="1"/>
  <c r="E23" i="1"/>
  <c r="E32" i="1" s="1" a="1"/>
  <c r="E32" i="1" s="1"/>
  <c r="G20" i="1"/>
  <c r="G21" i="1"/>
  <c r="G22" i="1"/>
  <c r="G23" i="1"/>
  <c r="E19" i="1"/>
  <c r="G6" i="1" a="1"/>
  <c r="G6" i="1"/>
  <c r="G7" i="1" a="1"/>
  <c r="G7" i="1" s="1"/>
  <c r="G8" i="1" a="1"/>
  <c r="G8" i="1" s="1"/>
  <c r="G9" i="1" a="1"/>
  <c r="G9" i="1" s="1"/>
  <c r="G5" i="1" a="1"/>
  <c r="G5" i="1" s="1"/>
  <c r="F6" i="1" a="1"/>
  <c r="F6" i="1" s="1"/>
  <c r="F7" i="1" a="1"/>
  <c r="F7" i="1" s="1"/>
  <c r="F8" i="1" a="1"/>
  <c r="F8" i="1" s="1"/>
  <c r="F9" i="1" a="1"/>
  <c r="F9" i="1" s="1"/>
  <c r="F5" i="1" a="1"/>
  <c r="F5" i="1" s="1"/>
  <c r="E6" i="1"/>
  <c r="E7" i="1"/>
  <c r="E8" i="1"/>
  <c r="E9" i="1"/>
  <c r="E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<sst xmlns="http://schemas.openxmlformats.org/spreadsheetml/2006/main" count="59" uniqueCount="38">
  <si>
    <t>AND OR</t>
  </si>
  <si>
    <t>Name</t>
  </si>
  <si>
    <t>Computer</t>
  </si>
  <si>
    <t>Geography</t>
  </si>
  <si>
    <t>English</t>
  </si>
  <si>
    <t>Merit Card- Comp</t>
  </si>
  <si>
    <t>First Class</t>
  </si>
  <si>
    <t>Fail</t>
  </si>
  <si>
    <t>Marks&gt;90</t>
  </si>
  <si>
    <t>All_Marks&gt;80</t>
  </si>
  <si>
    <t>any Marks&lt;70</t>
  </si>
  <si>
    <t>Jaya</t>
  </si>
  <si>
    <t>Maya</t>
  </si>
  <si>
    <t>Yash</t>
  </si>
  <si>
    <t>Sam</t>
  </si>
  <si>
    <t>Trina</t>
  </si>
  <si>
    <t>IF</t>
  </si>
  <si>
    <t>Grade Comp</t>
  </si>
  <si>
    <t>Grade Geo</t>
  </si>
  <si>
    <t>Grade Eng</t>
  </si>
  <si>
    <t>DISTINCTION</t>
  </si>
  <si>
    <t>Pass/Fail</t>
  </si>
  <si>
    <t>A:MARKS&gt;=85)</t>
  </si>
  <si>
    <t>C:MARKS&lt;60)</t>
  </si>
  <si>
    <t>B:MARKS&lt;85)</t>
  </si>
  <si>
    <t>COUNT IF</t>
  </si>
  <si>
    <t>Grade A</t>
  </si>
  <si>
    <t>Grade B</t>
  </si>
  <si>
    <t>Grade C</t>
  </si>
  <si>
    <t>Comp</t>
  </si>
  <si>
    <t>Geo</t>
  </si>
  <si>
    <t>Eng</t>
  </si>
  <si>
    <t>No. of 1st Class</t>
  </si>
  <si>
    <t>&gt;75</t>
  </si>
  <si>
    <t>SUM IF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</si>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</sst>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29DAC-3B4A-4F19-91C8-BDCA429617DD}">
  <dimension ref="A1:J53"/>
  <sheetViews>
    <sheetView tabSelected="1" topLeftCell="A66" zoomScale="110" zoomScaleNormal="110" workbookViewId="0">
      <selection activeCell="G49" sqref="G49"/>
    </sheetView>
  </sheetViews>
  <sheetFormatPr defaultRowHeight="14.4" x14ac:dyDescent="0.3"/>
  <cols>
    <col min="1" max="1" width="13.109375" customWidth="1"/>
    <col min="3" max="3" width="11.88671875" customWidth="1"/>
    <col min="5" max="5" width="15.5546875" customWidth="1"/>
    <col min="6" max="6" width="13" customWidth="1"/>
    <col min="7" max="7" width="12.5546875" customWidth="1"/>
  </cols>
  <sheetData>
    <row r="1" spans="1:7" ht="18" x14ac:dyDescent="0.35">
      <c r="A1" s="3" t="s">
        <v>0</v>
      </c>
    </row>
    <row r="3" spans="1:7" x14ac:dyDescent="0.3">
      <c r="E3" s="1" t="s">
        <v>8</v>
      </c>
      <c r="F3" s="1" t="s">
        <v>9</v>
      </c>
      <c r="G3" s="1" t="s">
        <v>10</v>
      </c>
    </row>
    <row r="4" spans="1:7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 x14ac:dyDescent="0.3">
      <c r="A5" t="s">
        <v>11</v>
      </c>
      <c r="B5">
        <v>80</v>
      </c>
      <c r="C5">
        <v>89</v>
      </c>
      <c r="D5">
        <v>92</v>
      </c>
      <c r="E5" t="b">
        <f>AND(B5&gt;90)</f>
        <v>0</v>
      </c>
      <c r="F5" t="b" cm="1">
        <f t="array" ref="F5">AND(B5:D5&gt;80)</f>
        <v>0</v>
      </c>
      <c r="G5" t="b" cm="1">
        <f t="array" ref="G5">OR(B5:D5&lt;70)</f>
        <v>0</v>
      </c>
    </row>
    <row r="6" spans="1:7" x14ac:dyDescent="0.3">
      <c r="A6" t="s">
        <v>12</v>
      </c>
      <c r="B6">
        <v>78</v>
      </c>
      <c r="C6">
        <v>85</v>
      </c>
      <c r="D6">
        <v>82</v>
      </c>
      <c r="E6" t="b">
        <f t="shared" ref="E6:E9" si="0">AND(B6&gt;90)</f>
        <v>0</v>
      </c>
      <c r="F6" t="b" cm="1">
        <f t="array" ref="F6">AND(B6:D6&gt;80)</f>
        <v>0</v>
      </c>
      <c r="G6" t="b" cm="1">
        <f t="array" ref="G6">OR(B6:D6&lt;70)</f>
        <v>0</v>
      </c>
    </row>
    <row r="7" spans="1:7" x14ac:dyDescent="0.3">
      <c r="A7" t="s">
        <v>13</v>
      </c>
      <c r="B7">
        <v>90</v>
      </c>
      <c r="C7">
        <v>92</v>
      </c>
      <c r="D7">
        <v>95</v>
      </c>
      <c r="E7" t="b">
        <f t="shared" si="0"/>
        <v>0</v>
      </c>
      <c r="F7" t="b" cm="1">
        <f t="array" ref="F7">AND(B7:D7&gt;80)</f>
        <v>1</v>
      </c>
      <c r="G7" t="b" cm="1">
        <f t="array" ref="G7">OR(B7:D7&lt;70)</f>
        <v>0</v>
      </c>
    </row>
    <row r="8" spans="1:7" x14ac:dyDescent="0.3">
      <c r="A8" t="s">
        <v>14</v>
      </c>
      <c r="B8">
        <v>92</v>
      </c>
      <c r="C8">
        <v>95</v>
      </c>
      <c r="D8">
        <v>89</v>
      </c>
      <c r="E8" t="b">
        <f t="shared" si="0"/>
        <v>1</v>
      </c>
      <c r="F8" t="b" cm="1">
        <f t="array" ref="F8">AND(B8:D8&gt;80)</f>
        <v>1</v>
      </c>
      <c r="G8" t="b" cm="1">
        <f t="array" ref="G8">OR(B8:D8&lt;70)</f>
        <v>0</v>
      </c>
    </row>
    <row r="9" spans="1:7" x14ac:dyDescent="0.3">
      <c r="A9" t="s">
        <v>15</v>
      </c>
      <c r="B9">
        <v>96</v>
      </c>
      <c r="C9">
        <v>78</v>
      </c>
      <c r="D9">
        <v>69</v>
      </c>
      <c r="E9" t="b">
        <f t="shared" si="0"/>
        <v>1</v>
      </c>
      <c r="F9" t="b" cm="1">
        <f t="array" ref="F9">AND(B9:D9&gt;80)</f>
        <v>0</v>
      </c>
      <c r="G9" t="b" cm="1">
        <f t="array" ref="G9">OR(B9:D9&lt;70)</f>
        <v>1</v>
      </c>
    </row>
    <row r="14" spans="1:7" ht="18" x14ac:dyDescent="0.35">
      <c r="A14" s="3" t="s">
        <v>16</v>
      </c>
    </row>
    <row r="18" spans="1:10" x14ac:dyDescent="0.3">
      <c r="A18" s="2" t="s">
        <v>1</v>
      </c>
      <c r="B18" s="2" t="s">
        <v>2</v>
      </c>
      <c r="C18" s="2" t="s">
        <v>3</v>
      </c>
      <c r="D18" s="2" t="s">
        <v>4</v>
      </c>
      <c r="E18" s="2" t="s">
        <v>17</v>
      </c>
      <c r="F18" s="2" t="s">
        <v>18</v>
      </c>
      <c r="G18" s="2" t="s">
        <v>19</v>
      </c>
    </row>
    <row r="19" spans="1:10" x14ac:dyDescent="0.3">
      <c r="A19" t="s">
        <v>11</v>
      </c>
      <c r="B19">
        <v>80</v>
      </c>
      <c r="C19">
        <v>89</v>
      </c>
      <c r="D19">
        <v>92</v>
      </c>
      <c r="E19" t="str">
        <f>IF(B19&gt;=85,"A",IF(B19&gt;=70,"B","C"))</f>
        <v>B</v>
      </c>
      <c r="F19" t="str">
        <f t="shared" ref="F19:G19" si="1">IF(C19&gt;=85,"A",IF(C19&gt;=70,"B","C"))</f>
        <v>A</v>
      </c>
      <c r="G19" t="str">
        <f t="shared" si="1"/>
        <v>A</v>
      </c>
    </row>
    <row r="20" spans="1:10" x14ac:dyDescent="0.3">
      <c r="A20" t="s">
        <v>12</v>
      </c>
      <c r="B20">
        <v>78</v>
      </c>
      <c r="C20">
        <v>85</v>
      </c>
      <c r="D20">
        <v>82</v>
      </c>
      <c r="E20" t="str">
        <f t="shared" ref="E20:E23" si="2">IF(B20&gt;=85,"A",IF(B20&gt;=70,"B","C"))</f>
        <v>B</v>
      </c>
      <c r="F20" t="str">
        <f t="shared" ref="F19:G23" si="3">IF(C20&gt;=85,"A",IF(C20&gt;=70,"B","C"))</f>
        <v>A</v>
      </c>
      <c r="G20" t="str">
        <f t="shared" ref="E20:G23" si="4">IF(D20&gt;=85,"A",IF(D20&gt;=70,"B","C"))</f>
        <v>B</v>
      </c>
      <c r="J20" t="s">
        <v>22</v>
      </c>
    </row>
    <row r="21" spans="1:10" x14ac:dyDescent="0.3">
      <c r="A21" t="s">
        <v>13</v>
      </c>
      <c r="B21">
        <v>90</v>
      </c>
      <c r="C21">
        <v>92</v>
      </c>
      <c r="D21">
        <v>95</v>
      </c>
      <c r="E21" t="str">
        <f t="shared" si="2"/>
        <v>A</v>
      </c>
      <c r="F21" t="str">
        <f t="shared" si="3"/>
        <v>A</v>
      </c>
      <c r="G21" t="str">
        <f t="shared" si="4"/>
        <v>A</v>
      </c>
      <c r="J21" t="s">
        <v>24</v>
      </c>
    </row>
    <row r="22" spans="1:10" x14ac:dyDescent="0.3">
      <c r="A22" t="s">
        <v>14</v>
      </c>
      <c r="B22">
        <v>92</v>
      </c>
      <c r="C22">
        <v>95</v>
      </c>
      <c r="D22">
        <v>89</v>
      </c>
      <c r="E22" t="str">
        <f t="shared" si="2"/>
        <v>A</v>
      </c>
      <c r="F22" t="str">
        <f t="shared" si="3"/>
        <v>A</v>
      </c>
      <c r="G22" t="str">
        <f t="shared" si="4"/>
        <v>A</v>
      </c>
      <c r="J22" t="s">
        <v>23</v>
      </c>
    </row>
    <row r="23" spans="1:10" x14ac:dyDescent="0.3">
      <c r="A23" t="s">
        <v>15</v>
      </c>
      <c r="B23">
        <v>58</v>
      </c>
      <c r="C23">
        <v>78</v>
      </c>
      <c r="D23">
        <v>69</v>
      </c>
      <c r="E23" t="str">
        <f t="shared" si="2"/>
        <v>C</v>
      </c>
      <c r="F23" t="str">
        <f t="shared" si="3"/>
        <v>B</v>
      </c>
      <c r="G23" t="str">
        <f t="shared" si="4"/>
        <v>C</v>
      </c>
    </row>
    <row r="27" spans="1:10" x14ac:dyDescent="0.3">
      <c r="A27" s="2" t="s">
        <v>1</v>
      </c>
      <c r="B27" s="2" t="s">
        <v>2</v>
      </c>
      <c r="C27" s="2" t="s">
        <v>3</v>
      </c>
      <c r="D27" s="2" t="s">
        <v>4</v>
      </c>
      <c r="E27" s="2" t="s">
        <v>20</v>
      </c>
      <c r="F27" s="2" t="s">
        <v>21</v>
      </c>
    </row>
    <row r="28" spans="1:10" x14ac:dyDescent="0.3">
      <c r="A28" t="s">
        <v>11</v>
      </c>
      <c r="B28">
        <v>80</v>
      </c>
      <c r="C28">
        <v>89</v>
      </c>
      <c r="D28">
        <v>92</v>
      </c>
      <c r="E28" t="str" cm="1">
        <f t="array" ref="E28">IF(AND(E19:G19="A"),"PWD","ND")</f>
        <v>ND</v>
      </c>
      <c r="F28" t="str" cm="1">
        <f t="array" ref="F28">IF(OR(E19:G19="C"),"F","P")</f>
        <v>P</v>
      </c>
    </row>
    <row r="29" spans="1:10" x14ac:dyDescent="0.3">
      <c r="A29" t="s">
        <v>12</v>
      </c>
      <c r="B29">
        <v>78</v>
      </c>
      <c r="C29">
        <v>85</v>
      </c>
      <c r="D29">
        <v>82</v>
      </c>
      <c r="E29" t="str" cm="1">
        <f t="array" ref="E29">IF(AND(E20:G20="A"),"PWD","ND")</f>
        <v>ND</v>
      </c>
      <c r="F29" t="str" cm="1">
        <f t="array" ref="F29">IF(OR(E20:G20="C"),"F","P")</f>
        <v>P</v>
      </c>
    </row>
    <row r="30" spans="1:10" x14ac:dyDescent="0.3">
      <c r="A30" t="s">
        <v>13</v>
      </c>
      <c r="B30">
        <v>90</v>
      </c>
      <c r="C30">
        <v>92</v>
      </c>
      <c r="D30">
        <v>95</v>
      </c>
      <c r="E30" t="str" cm="1">
        <f t="array" ref="E30">IF(AND(E21:G21="A"),"PWD","ND")</f>
        <v>PWD</v>
      </c>
      <c r="F30" t="str" cm="1">
        <f t="array" ref="F30">IF(OR(E21:G21="C"),"F","P")</f>
        <v>P</v>
      </c>
    </row>
    <row r="31" spans="1:10" x14ac:dyDescent="0.3">
      <c r="A31" t="s">
        <v>14</v>
      </c>
      <c r="B31">
        <v>92</v>
      </c>
      <c r="C31">
        <v>95</v>
      </c>
      <c r="D31">
        <v>89</v>
      </c>
      <c r="E31" t="str" cm="1">
        <f t="array" ref="E31">IF(AND(E22:G22="A"),"PWD","ND")</f>
        <v>PWD</v>
      </c>
      <c r="F31" t="str" cm="1">
        <f t="array" ref="F31">IF(OR(E22:G22="C"),"F","P")</f>
        <v>P</v>
      </c>
    </row>
    <row r="32" spans="1:10" x14ac:dyDescent="0.3">
      <c r="A32" t="s">
        <v>15</v>
      </c>
      <c r="B32">
        <v>96</v>
      </c>
      <c r="C32">
        <v>78</v>
      </c>
      <c r="D32">
        <v>69</v>
      </c>
      <c r="E32" t="str" cm="1">
        <f t="array" ref="E32">IF(AND(E23:G23="A"),"PWD","ND")</f>
        <v>ND</v>
      </c>
      <c r="F32" t="str" cm="1">
        <f t="array" ref="F32">IF(OR(E23:G23="C"),"F","P")</f>
        <v>F</v>
      </c>
    </row>
    <row r="37" spans="1:6" ht="18" x14ac:dyDescent="0.35">
      <c r="A37" s="3" t="s">
        <v>25</v>
      </c>
    </row>
    <row r="38" spans="1:6" x14ac:dyDescent="0.3">
      <c r="B38" s="2" t="s">
        <v>29</v>
      </c>
      <c r="C38" s="2" t="s">
        <v>30</v>
      </c>
      <c r="D38" s="2" t="s">
        <v>31</v>
      </c>
    </row>
    <row r="39" spans="1:6" x14ac:dyDescent="0.3">
      <c r="A39" s="2" t="s">
        <v>26</v>
      </c>
      <c r="B39">
        <f>COUNTIF(E19:E23,"A")</f>
        <v>2</v>
      </c>
      <c r="C39">
        <f t="shared" ref="C39:D39" si="5">COUNTIF(F19:F23,"A")</f>
        <v>4</v>
      </c>
      <c r="D39">
        <f t="shared" si="5"/>
        <v>3</v>
      </c>
    </row>
    <row r="40" spans="1:6" x14ac:dyDescent="0.3">
      <c r="A40" s="2" t="s">
        <v>27</v>
      </c>
      <c r="B40">
        <f>COUNTIF(E20:E24,"B")</f>
        <v>1</v>
      </c>
      <c r="C40">
        <f t="shared" ref="C40:D40" si="6">COUNTIF(F20:F24,"B")</f>
        <v>1</v>
      </c>
      <c r="D40">
        <f t="shared" si="6"/>
        <v>1</v>
      </c>
    </row>
    <row r="41" spans="1:6" x14ac:dyDescent="0.3">
      <c r="A41" s="2" t="s">
        <v>28</v>
      </c>
      <c r="B41">
        <f>COUNTIF(E21:E25,"C")</f>
        <v>1</v>
      </c>
      <c r="C41">
        <f t="shared" ref="C41:D41" si="7">COUNTIF(F21:F25,"C")</f>
        <v>0</v>
      </c>
      <c r="D41">
        <f t="shared" si="7"/>
        <v>1</v>
      </c>
    </row>
    <row r="43" spans="1:6" x14ac:dyDescent="0.3">
      <c r="A43" s="2" t="s">
        <v>32</v>
      </c>
      <c r="B43">
        <f>COUNTIFS(B28:B32,F43,C28:C32,F43,D28:D32,F43)</f>
        <v>4</v>
      </c>
      <c r="F43" t="s">
        <v>33</v>
      </c>
    </row>
    <row r="48" spans="1:6" ht="18" x14ac:dyDescent="0.35">
      <c r="A48" s="3" t="s">
        <v>34</v>
      </c>
    </row>
    <row r="50" spans="1:4" x14ac:dyDescent="0.3">
      <c r="B50" s="2" t="s">
        <v>29</v>
      </c>
      <c r="C50" s="2" t="s">
        <v>30</v>
      </c>
      <c r="D50" s="2" t="s">
        <v>31</v>
      </c>
    </row>
    <row r="51" spans="1:4" x14ac:dyDescent="0.3">
      <c r="A51" s="2" t="s">
        <v>35</v>
      </c>
      <c r="B51">
        <f>SUMIF(E19:E23,A51,B19:B23)</f>
        <v>182</v>
      </c>
      <c r="C51">
        <f>SUMIF(F19:F23,A51,C19:C23)</f>
        <v>361</v>
      </c>
      <c r="D51">
        <f>SUMIF(G19:G23,A51,D19:D23)</f>
        <v>276</v>
      </c>
    </row>
    <row r="52" spans="1:4" x14ac:dyDescent="0.3">
      <c r="A52" s="2" t="s">
        <v>36</v>
      </c>
      <c r="B52">
        <f t="shared" ref="B52:B53" si="8">SUMIF(E20:E24,A52,B20:B24)</f>
        <v>78</v>
      </c>
      <c r="C52">
        <f t="shared" ref="C52:C53" si="9">SUMIF(F20:F24,A52,C20:C24)</f>
        <v>78</v>
      </c>
      <c r="D52">
        <f t="shared" ref="D52:D53" si="10">SUMIF(G20:G24,A52,D20:D24)</f>
        <v>82</v>
      </c>
    </row>
    <row r="53" spans="1:4" x14ac:dyDescent="0.3">
      <c r="A53" s="2" t="s">
        <v>37</v>
      </c>
      <c r="B53">
        <f t="shared" si="8"/>
        <v>58</v>
      </c>
      <c r="C53">
        <f t="shared" si="9"/>
        <v>0</v>
      </c>
      <c r="D53">
        <f t="shared" si="10"/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Ayaz Alam</dc:creator>
  <cp:lastModifiedBy>Ayaz Alam</cp:lastModifiedBy>
  <dcterms:created xsi:type="dcterms:W3CDTF">2026-04-06T14:06:58Z</dcterms:created>
  <dcterms:modified xsi:type="dcterms:W3CDTF">2026-04-06T15:05:52Z</dcterms:modified>
</cp:coreProperties>
</file>