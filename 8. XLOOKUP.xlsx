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Document\"/>
    </mc:Choice>
  </mc:AlternateContent>
  <xr:revisionPtr revIDLastSave="0" documentId="8_{13105F23-8BBE-4FE3-BB1F-05C3C729137C}" xr6:coauthVersionLast="47" xr6:coauthVersionMax="47" xr10:uidLastSave="{00000000-0000-0000-0000-000000000000}"/>
  <bookViews>
    <workbookView xWindow="11424" yWindow="0" windowWidth="11712" windowHeight="12336" firstSheet="3" activeTab="4" xr2:uid="{C4C5985A-4ED7-4E3D-BDB8-983D46C3A341}"/>
  </bookViews>
  <sheets>
    <sheet name="Product" sheetId="1" r:id="rId1"/>
    <sheet name="Poduct Sales" sheetId="2" r:id="rId2"/>
    <sheet name="XLOOKUP" sheetId="3" r:id="rId3"/>
    <sheet name="Wildcard Characters" sheetId="5" r:id="rId4"/>
    <sheet name="Search Mode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6" l="1"/>
  <c r="D16" i="6"/>
  <c r="C14" i="5"/>
  <c r="G2" i="1"/>
  <c r="G3" i="1"/>
  <c r="G4" i="1"/>
  <c r="G5" i="1"/>
  <c r="G6" i="1"/>
  <c r="G7" i="1"/>
  <c r="G8" i="1"/>
  <c r="G9" i="1"/>
  <c r="F2" i="1"/>
  <c r="F3" i="1"/>
  <c r="F4" i="1"/>
  <c r="F5" i="1"/>
  <c r="F6" i="1"/>
  <c r="F7" i="1"/>
  <c r="F8" i="1"/>
  <c r="F9" i="1"/>
  <c r="A18" i="3"/>
  <c r="B12" i="3" a="1"/>
  <c r="B12" i="3" s="1"/>
  <c r="B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<sst xmlns="http://schemas.openxmlformats.org/spreadsheetml/2006/main" count="93" uniqueCount="35">
  <si>
    <t>Product ID</t>
  </si>
  <si>
    <t>Product Name</t>
  </si>
  <si>
    <t>Widget A</t>
  </si>
  <si>
    <t>Widget B</t>
  </si>
  <si>
    <t>Gadget X</t>
  </si>
  <si>
    <t>Gadget Y</t>
  </si>
  <si>
    <t>Tool Z</t>
  </si>
  <si>
    <t>Tool W</t>
  </si>
  <si>
    <t>Appliance Q</t>
  </si>
  <si>
    <t>Appliance P</t>
  </si>
  <si>
    <t>Category</t>
  </si>
  <si>
    <t>Electronics</t>
  </si>
  <si>
    <t>Home Goods</t>
  </si>
  <si>
    <t>Tools</t>
  </si>
  <si>
    <t>Applicances</t>
  </si>
  <si>
    <t>Prices($)</t>
  </si>
  <si>
    <t>Stock Quantity</t>
  </si>
  <si>
    <t>Order ID</t>
  </si>
  <si>
    <t>Quantity Sold</t>
  </si>
  <si>
    <t>Price($)</t>
  </si>
  <si>
    <t>Score</t>
  </si>
  <si>
    <t>score</t>
  </si>
  <si>
    <t>score1</t>
  </si>
  <si>
    <t>Toaster</t>
  </si>
  <si>
    <t>Hair Dryer</t>
  </si>
  <si>
    <t>Iron Table</t>
  </si>
  <si>
    <t>Wooden Basket</t>
  </si>
  <si>
    <t>Scraper</t>
  </si>
  <si>
    <t>Ladle</t>
  </si>
  <si>
    <t>Cooler</t>
  </si>
  <si>
    <t>Induction</t>
  </si>
  <si>
    <t>Wooden</t>
  </si>
  <si>
    <t>Wooden Chair</t>
  </si>
  <si>
    <t>Appliances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</si>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</sst>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1" fillId="0" borderId="10" xfId="0" applyFont="1" applyBorder="1"/>
    <xf numFmtId="0" fontId="0" fillId="2" borderId="1" xfId="0" applyFont="1" applyFill="1" applyBorder="1"/>
    <xf numFmtId="0" fontId="0" fillId="2" borderId="10" xfId="0" applyFont="1" applyFill="1" applyBorder="1"/>
    <xf numFmtId="0" fontId="0" fillId="0" borderId="1" xfId="0" applyFont="1" applyBorder="1"/>
    <xf numFmtId="0" fontId="0" fillId="0" borderId="10" xfId="0" applyFont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C6CCF7-7132-41AD-A033-48663231BE7B}" name="Table1" displayName="Table1" ref="A1:G9" totalsRowShown="0" headerRowDxfId="22" headerRowBorderDxfId="29" tableBorderDxfId="30" totalsRowBorderDxfId="28">
  <autoFilter ref="A1:G9" xr:uid="{88C6CCF7-7132-41AD-A033-48663231BE7B}"/>
  <tableColumns count="7">
    <tableColumn id="1" xr3:uid="{BE85FC95-A301-4A46-A945-A43CD7688573}" name="Product ID" dataDxfId="27"/>
    <tableColumn id="2" xr3:uid="{438CF2B2-DD51-4410-8D74-E5ED298DA1DF}" name="Product Name" dataDxfId="26"/>
    <tableColumn id="3" xr3:uid="{1066EC6A-15E1-4503-878E-4EA46B0BA408}" name="Category" dataDxfId="25"/>
    <tableColumn id="4" xr3:uid="{6C32C907-7BCE-417E-96F1-8AE513889EFA}" name="Prices($)" dataDxfId="24"/>
    <tableColumn id="5" xr3:uid="{F9DC633C-C6FB-4BF5-9CE2-D33580563382}" name="Stock Quantity" dataDxfId="23"/>
    <tableColumn id="6" xr3:uid="{9257BAAC-F381-4B5C-B3ED-6A9D217A79FD}" name="score" dataDxfId="2">
      <calculatedColumnFormula>_xlfn.XLOOKUP(Table1[[#This Row],[Stock Quantity]],Table3[Stock Quantity],Table3[Score],,1)</calculatedColumnFormula>
    </tableColumn>
    <tableColumn id="7" xr3:uid="{0E8AE5A5-9F74-47B3-9229-C64802E4C065}" name="score1" dataDxfId="1">
      <calculatedColumnFormula>_xlfn.XLOOKUP(Table1[[#This Row],[Stock Quantity]],Table35[Stock Quantity],Table35[Score],,1)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4D2CBC-3C27-4CE4-B8E6-A165E7C8569D}" name="Table3" displayName="Table3" ref="I6:J12" totalsRowShown="0" headerRowDxfId="9" headerRowBorderDxfId="13" tableBorderDxfId="14" totalsRowBorderDxfId="12">
  <autoFilter ref="I6:J12" xr:uid="{D54D2CBC-3C27-4CE4-B8E6-A165E7C8569D}"/>
  <tableColumns count="2">
    <tableColumn id="1" xr3:uid="{533E480C-5758-485A-A3EC-5C01EF606354}" name="Stock Quantity" dataDxfId="11"/>
    <tableColumn id="2" xr3:uid="{E08300AF-797B-46EA-A15C-00CDBABA4E24}" name="Score" dataDxfId="1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69760D-4822-4B29-97F7-BB4A6F456DE7}" name="Table35" displayName="Table35" ref="L6:M12" totalsRowShown="0" headerRowDxfId="8" headerRowBorderDxfId="6" tableBorderDxfId="7" totalsRowBorderDxfId="5">
  <autoFilter ref="L6:M12" xr:uid="{2069760D-4822-4B29-97F7-BB4A6F456DE7}"/>
  <tableColumns count="2">
    <tableColumn id="1" xr3:uid="{97959EE7-8561-4DFC-82E8-BB05F4402EC4}" name="Stock Quantity" dataDxfId="4"/>
    <tableColumn id="2" xr3:uid="{6C9A907F-2581-4FFE-85A1-C7552D5F77E2}" name="Score" dataDxfId="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899302-3ECC-4A99-A00B-7F2683E1E5DF}" name="Table2" displayName="Table2" ref="A1:C9" totalsRowShown="0" headerRowDxfId="15" headerRowBorderDxfId="20" tableBorderDxfId="21" totalsRowBorderDxfId="19">
  <autoFilter ref="A1:C9" xr:uid="{DC899302-3ECC-4A99-A00B-7F2683E1E5DF}"/>
  <tableColumns count="3">
    <tableColumn id="1" xr3:uid="{2D113090-7626-4F66-A84F-65A68D4464D8}" name="Order ID" dataDxfId="18"/>
    <tableColumn id="2" xr3:uid="{8A4DCA65-EE71-487C-A2E5-917835835FF8}" name="Product ID" dataDxfId="17"/>
    <tableColumn id="3" xr3:uid="{6E695D1D-8723-4FD5-B9AE-B615E2A191B6}" name="Quantity Sold" dataDxfId="16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260191-56EB-4C7B-9606-F15730500843}" name="Table5" displayName="Table5" ref="B2:G12" totalsRowShown="0" headerRowDxfId="0">
  <autoFilter ref="B2:G12" xr:uid="{77260191-56EB-4C7B-9606-F15730500843}"/>
  <tableColumns count="6">
    <tableColumn id="1" xr3:uid="{790D38C1-3F15-4421-8F59-EC284CAEDFA1}" name="Product ID"/>
    <tableColumn id="2" xr3:uid="{8B559313-8EAC-4327-9ACE-2F66F1617897}" name="Product Name"/>
    <tableColumn id="3" xr3:uid="{4E57DFB8-8249-4737-968A-D912B2054777}" name="Category"/>
    <tableColumn id="4" xr3:uid="{5B45C587-9E82-4AB5-AED8-AAB177E6C133}" name="Price($)"/>
    <tableColumn id="5" xr3:uid="{DD4B15A5-04C5-4C4F-86A6-B3FDCBB5E2B4}" name="Stock Quantity"/>
    <tableColumn id="6" xr3:uid="{D156D678-2ABD-4540-83C7-552D164EEAF4}" name="Column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43B6-AAA0-4311-9BEE-5E024770197C}">
  <dimension ref="A1:M12"/>
  <sheetViews>
    <sheetView workbookViewId="0">
      <selection sqref="A1:E9"/>
    </sheetView>
  </sheetViews>
  <sheetFormatPr defaultRowHeight="14.4" x14ac:dyDescent="0.3"/>
  <cols>
    <col min="1" max="1" width="11.77734375" customWidth="1"/>
    <col min="2" max="2" width="15" customWidth="1"/>
    <col min="3" max="3" width="10.44140625" customWidth="1"/>
    <col min="4" max="4" width="10.109375" customWidth="1"/>
    <col min="5" max="5" width="15.33203125" customWidth="1"/>
    <col min="9" max="9" width="14.77734375" customWidth="1"/>
  </cols>
  <sheetData>
    <row r="1" spans="1:13" x14ac:dyDescent="0.3">
      <c r="A1" s="6" t="s">
        <v>0</v>
      </c>
      <c r="B1" s="7" t="s">
        <v>1</v>
      </c>
      <c r="C1" s="7" t="s">
        <v>10</v>
      </c>
      <c r="D1" s="7" t="s">
        <v>15</v>
      </c>
      <c r="E1" s="8" t="s">
        <v>16</v>
      </c>
      <c r="F1" s="7" t="s">
        <v>21</v>
      </c>
      <c r="G1" s="7" t="s">
        <v>22</v>
      </c>
    </row>
    <row r="2" spans="1:13" x14ac:dyDescent="0.3">
      <c r="A2" s="4">
        <v>101</v>
      </c>
      <c r="B2" s="3" t="s">
        <v>2</v>
      </c>
      <c r="C2" s="3" t="s">
        <v>11</v>
      </c>
      <c r="D2" s="3">
        <v>25</v>
      </c>
      <c r="E2" s="5">
        <v>50</v>
      </c>
      <c r="F2" s="14">
        <f>_xlfn.XLOOKUP(Table1[[#This Row],[Stock Quantity]],Table3[Stock Quantity],Table3[Score],,1)</f>
        <v>5.5</v>
      </c>
      <c r="G2" s="14">
        <f>_xlfn.XLOOKUP(Table1[[#This Row],[Stock Quantity]],Table35[Stock Quantity],Table35[Score],,1)</f>
        <v>4.5</v>
      </c>
    </row>
    <row r="3" spans="1:13" x14ac:dyDescent="0.3">
      <c r="A3" s="4">
        <v>102</v>
      </c>
      <c r="B3" s="3" t="s">
        <v>3</v>
      </c>
      <c r="C3" s="3" t="s">
        <v>11</v>
      </c>
      <c r="D3" s="3">
        <v>35</v>
      </c>
      <c r="E3" s="5">
        <v>30</v>
      </c>
      <c r="F3" s="3">
        <f>_xlfn.XLOOKUP(Table1[[#This Row],[Stock Quantity]],Table3[Stock Quantity],Table3[Score],,1)</f>
        <v>3.5</v>
      </c>
      <c r="G3" s="3">
        <f>_xlfn.XLOOKUP(Table1[[#This Row],[Stock Quantity]],Table35[Stock Quantity],Table35[Score],,1)</f>
        <v>2.5</v>
      </c>
    </row>
    <row r="4" spans="1:13" x14ac:dyDescent="0.3">
      <c r="A4" s="4">
        <v>103</v>
      </c>
      <c r="B4" s="3" t="s">
        <v>4</v>
      </c>
      <c r="C4" s="3" t="s">
        <v>12</v>
      </c>
      <c r="D4" s="3">
        <v>45</v>
      </c>
      <c r="E4" s="5">
        <v>20</v>
      </c>
      <c r="F4" s="3">
        <f>_xlfn.XLOOKUP(Table1[[#This Row],[Stock Quantity]],Table3[Stock Quantity],Table3[Score],,1)</f>
        <v>2.5</v>
      </c>
      <c r="G4" s="3">
        <f>_xlfn.XLOOKUP(Table1[[#This Row],[Stock Quantity]],Table35[Stock Quantity],Table35[Score],,1)</f>
        <v>1.5</v>
      </c>
    </row>
    <row r="5" spans="1:13" x14ac:dyDescent="0.3">
      <c r="A5" s="4">
        <v>104</v>
      </c>
      <c r="B5" s="3" t="s">
        <v>5</v>
      </c>
      <c r="C5" s="3" t="s">
        <v>12</v>
      </c>
      <c r="D5" s="3">
        <v>55</v>
      </c>
      <c r="E5" s="5">
        <v>15</v>
      </c>
      <c r="F5" s="3">
        <f>_xlfn.XLOOKUP(Table1[[#This Row],[Stock Quantity]],Table3[Stock Quantity],Table3[Score],,1)</f>
        <v>2.5</v>
      </c>
      <c r="G5" s="3">
        <f>_xlfn.XLOOKUP(Table1[[#This Row],[Stock Quantity]],Table35[Stock Quantity],Table35[Score],,1)</f>
        <v>1.5</v>
      </c>
    </row>
    <row r="6" spans="1:13" x14ac:dyDescent="0.3">
      <c r="A6" s="4">
        <v>105</v>
      </c>
      <c r="B6" s="3" t="s">
        <v>6</v>
      </c>
      <c r="C6" s="3" t="s">
        <v>13</v>
      </c>
      <c r="D6" s="3">
        <v>20</v>
      </c>
      <c r="E6" s="5">
        <v>40</v>
      </c>
      <c r="F6" s="3">
        <f>_xlfn.XLOOKUP(Table1[[#This Row],[Stock Quantity]],Table3[Stock Quantity],Table3[Score],,1)</f>
        <v>4.5</v>
      </c>
      <c r="G6" s="3">
        <f>_xlfn.XLOOKUP(Table1[[#This Row],[Stock Quantity]],Table35[Stock Quantity],Table35[Score],,1)</f>
        <v>3.5</v>
      </c>
      <c r="I6" s="13" t="s">
        <v>16</v>
      </c>
      <c r="J6" s="12" t="s">
        <v>20</v>
      </c>
      <c r="L6" s="13" t="s">
        <v>16</v>
      </c>
      <c r="M6" s="12" t="s">
        <v>20</v>
      </c>
    </row>
    <row r="7" spans="1:13" x14ac:dyDescent="0.3">
      <c r="A7" s="4">
        <v>106</v>
      </c>
      <c r="B7" s="3" t="s">
        <v>7</v>
      </c>
      <c r="C7" s="3" t="s">
        <v>13</v>
      </c>
      <c r="D7" s="3">
        <v>30</v>
      </c>
      <c r="E7" s="5">
        <v>25</v>
      </c>
      <c r="F7" s="3">
        <f>_xlfn.XLOOKUP(Table1[[#This Row],[Stock Quantity]],Table3[Stock Quantity],Table3[Score],,1)</f>
        <v>3.5</v>
      </c>
      <c r="G7" s="3">
        <f>_xlfn.XLOOKUP(Table1[[#This Row],[Stock Quantity]],Table35[Stock Quantity],Table35[Score],,1)</f>
        <v>2.5</v>
      </c>
      <c r="I7" s="4">
        <v>0</v>
      </c>
      <c r="J7" s="5">
        <v>0.5</v>
      </c>
      <c r="L7" s="4">
        <v>10</v>
      </c>
      <c r="M7" s="5">
        <v>0.5</v>
      </c>
    </row>
    <row r="8" spans="1:13" x14ac:dyDescent="0.3">
      <c r="A8" s="4">
        <v>107</v>
      </c>
      <c r="B8" s="3" t="s">
        <v>8</v>
      </c>
      <c r="C8" s="3" t="s">
        <v>14</v>
      </c>
      <c r="D8" s="3">
        <v>150</v>
      </c>
      <c r="E8" s="5">
        <v>10</v>
      </c>
      <c r="F8" s="3">
        <f>_xlfn.XLOOKUP(Table1[[#This Row],[Stock Quantity]],Table3[Stock Quantity],Table3[Score],,1)</f>
        <v>1.5</v>
      </c>
      <c r="G8" s="3">
        <f>_xlfn.XLOOKUP(Table1[[#This Row],[Stock Quantity]],Table35[Stock Quantity],Table35[Score],,1)</f>
        <v>0.5</v>
      </c>
      <c r="I8" s="4">
        <v>10</v>
      </c>
      <c r="J8" s="5">
        <v>1.5</v>
      </c>
      <c r="L8" s="4">
        <v>20</v>
      </c>
      <c r="M8" s="5">
        <v>1.5</v>
      </c>
    </row>
    <row r="9" spans="1:13" x14ac:dyDescent="0.3">
      <c r="A9" s="9">
        <v>108</v>
      </c>
      <c r="B9" s="10" t="s">
        <v>9</v>
      </c>
      <c r="C9" s="10" t="s">
        <v>14</v>
      </c>
      <c r="D9" s="10">
        <v>200</v>
      </c>
      <c r="E9" s="11">
        <v>5</v>
      </c>
      <c r="F9" s="10">
        <f>_xlfn.XLOOKUP(Table1[[#This Row],[Stock Quantity]],Table3[Stock Quantity],Table3[Score],,1)</f>
        <v>1.5</v>
      </c>
      <c r="G9" s="10">
        <f>_xlfn.XLOOKUP(Table1[[#This Row],[Stock Quantity]],Table35[Stock Quantity],Table35[Score],,1)</f>
        <v>0.5</v>
      </c>
      <c r="I9" s="4">
        <v>20</v>
      </c>
      <c r="J9" s="5">
        <v>2.5</v>
      </c>
      <c r="L9" s="4">
        <v>30</v>
      </c>
      <c r="M9" s="5">
        <v>2.5</v>
      </c>
    </row>
    <row r="10" spans="1:13" x14ac:dyDescent="0.3">
      <c r="I10" s="4">
        <v>30</v>
      </c>
      <c r="J10" s="5">
        <v>3.5</v>
      </c>
      <c r="L10" s="4">
        <v>40</v>
      </c>
      <c r="M10" s="5">
        <v>3.5</v>
      </c>
    </row>
    <row r="11" spans="1:13" x14ac:dyDescent="0.3">
      <c r="I11" s="4">
        <v>40</v>
      </c>
      <c r="J11" s="5">
        <v>4.5</v>
      </c>
      <c r="L11" s="4">
        <v>50</v>
      </c>
      <c r="M11" s="5">
        <v>4.5</v>
      </c>
    </row>
    <row r="12" spans="1:13" x14ac:dyDescent="0.3">
      <c r="I12" s="9">
        <v>50</v>
      </c>
      <c r="J12" s="11">
        <v>5.5</v>
      </c>
      <c r="L12" s="9">
        <v>100</v>
      </c>
      <c r="M12" s="11">
        <v>5.5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3B45-347D-4032-BBC3-2FD0BEC437B3}">
  <dimension ref="A1:C9"/>
  <sheetViews>
    <sheetView topLeftCell="B1" workbookViewId="0">
      <selection activeCell="E14" sqref="E14"/>
    </sheetView>
  </sheetViews>
  <sheetFormatPr defaultRowHeight="14.4" x14ac:dyDescent="0.3"/>
  <cols>
    <col min="1" max="1" width="9.88671875" customWidth="1"/>
    <col min="2" max="2" width="11.77734375" customWidth="1"/>
    <col min="3" max="3" width="14.33203125" customWidth="1"/>
  </cols>
  <sheetData>
    <row r="1" spans="1:3" x14ac:dyDescent="0.3">
      <c r="A1" s="6" t="s">
        <v>17</v>
      </c>
      <c r="B1" s="7" t="s">
        <v>0</v>
      </c>
      <c r="C1" s="8" t="s">
        <v>18</v>
      </c>
    </row>
    <row r="2" spans="1:3" x14ac:dyDescent="0.3">
      <c r="A2" s="4">
        <v>1001</v>
      </c>
      <c r="B2" s="3">
        <v>101</v>
      </c>
      <c r="C2" s="5">
        <v>5</v>
      </c>
    </row>
    <row r="3" spans="1:3" x14ac:dyDescent="0.3">
      <c r="A3" s="4">
        <v>1002</v>
      </c>
      <c r="B3" s="3">
        <v>103</v>
      </c>
      <c r="C3" s="5">
        <v>3</v>
      </c>
    </row>
    <row r="4" spans="1:3" x14ac:dyDescent="0.3">
      <c r="A4" s="4">
        <v>1003</v>
      </c>
      <c r="B4" s="3">
        <v>107</v>
      </c>
      <c r="C4" s="5">
        <v>1</v>
      </c>
    </row>
    <row r="5" spans="1:3" x14ac:dyDescent="0.3">
      <c r="A5" s="4">
        <v>1004</v>
      </c>
      <c r="B5" s="3">
        <v>102</v>
      </c>
      <c r="C5" s="5">
        <v>2</v>
      </c>
    </row>
    <row r="6" spans="1:3" x14ac:dyDescent="0.3">
      <c r="A6" s="4">
        <v>1005</v>
      </c>
      <c r="B6" s="3">
        <v>105</v>
      </c>
      <c r="C6" s="5">
        <v>4</v>
      </c>
    </row>
    <row r="7" spans="1:3" x14ac:dyDescent="0.3">
      <c r="A7" s="4">
        <v>1006</v>
      </c>
      <c r="B7" s="3">
        <v>104</v>
      </c>
      <c r="C7" s="5">
        <v>6</v>
      </c>
    </row>
    <row r="8" spans="1:3" x14ac:dyDescent="0.3">
      <c r="A8" s="4">
        <v>1007</v>
      </c>
      <c r="B8" s="3">
        <v>108</v>
      </c>
      <c r="C8" s="5">
        <v>2</v>
      </c>
    </row>
    <row r="9" spans="1:3" x14ac:dyDescent="0.3">
      <c r="A9" s="9">
        <v>1008</v>
      </c>
      <c r="B9" s="10">
        <v>106</v>
      </c>
      <c r="C9" s="11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78F2-05E7-428B-BD5C-7C0607FB56B0}">
  <dimension ref="A5:E18"/>
  <sheetViews>
    <sheetView workbookViewId="0">
      <selection activeCell="A17" sqref="A17"/>
    </sheetView>
  </sheetViews>
  <sheetFormatPr defaultRowHeight="14.4" x14ac:dyDescent="0.3"/>
  <cols>
    <col min="1" max="1" width="12.6640625" customWidth="1"/>
    <col min="2" max="2" width="13" customWidth="1"/>
    <col min="5" max="5" width="13.6640625" customWidth="1"/>
  </cols>
  <sheetData>
    <row r="5" spans="1:5" x14ac:dyDescent="0.3">
      <c r="A5" s="2" t="s">
        <v>0</v>
      </c>
      <c r="B5" s="2" t="s">
        <v>1</v>
      </c>
      <c r="C5" s="3"/>
    </row>
    <row r="6" spans="1:5" x14ac:dyDescent="0.3">
      <c r="A6" s="3">
        <v>107</v>
      </c>
      <c r="B6" s="3" t="str">
        <f>_xlfn.XLOOKUP(A6,Table1[Product ID],Table1[Product Name])</f>
        <v>Appliance Q</v>
      </c>
      <c r="C6" s="3"/>
    </row>
    <row r="11" spans="1:5" x14ac:dyDescent="0.3">
      <c r="A11" s="2" t="s">
        <v>0</v>
      </c>
      <c r="B11" s="2" t="s">
        <v>1</v>
      </c>
      <c r="C11" s="2" t="s">
        <v>10</v>
      </c>
      <c r="D11" s="2" t="s">
        <v>19</v>
      </c>
      <c r="E11" s="2" t="s">
        <v>16</v>
      </c>
    </row>
    <row r="12" spans="1:5" x14ac:dyDescent="0.3">
      <c r="A12" s="3">
        <v>107</v>
      </c>
      <c r="B12" s="3" t="str" cm="1">
        <f t="array" ref="B12:E12">_xlfn.XLOOKUP(A12,Table1[Product ID],Table1[[Product Name]:[Stock Quantity]])</f>
        <v>Appliance Q</v>
      </c>
      <c r="C12" s="3" t="str">
        <v>Applicances</v>
      </c>
      <c r="D12" s="3">
        <v>150</v>
      </c>
      <c r="E12" s="3">
        <v>10</v>
      </c>
    </row>
    <row r="17" spans="1:2" x14ac:dyDescent="0.3">
      <c r="A17" s="1" t="s">
        <v>17</v>
      </c>
      <c r="B17" s="1" t="s">
        <v>0</v>
      </c>
    </row>
    <row r="18" spans="1:2" x14ac:dyDescent="0.3">
      <c r="A18">
        <f>_xlfn.XLOOKUP(B18,Table2[Product ID],Table2[Order ID])</f>
        <v>1005</v>
      </c>
      <c r="B18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AB9C-CB30-465B-AF0A-82720042DB68}">
  <dimension ref="A1:E14"/>
  <sheetViews>
    <sheetView workbookViewId="0">
      <selection activeCell="A2" sqref="A2"/>
    </sheetView>
  </sheetViews>
  <sheetFormatPr defaultRowHeight="14.4" x14ac:dyDescent="0.3"/>
  <sheetData>
    <row r="1" spans="1:5" x14ac:dyDescent="0.3">
      <c r="A1" s="2" t="s">
        <v>0</v>
      </c>
      <c r="B1" s="2" t="s">
        <v>1</v>
      </c>
      <c r="C1" s="2" t="s">
        <v>10</v>
      </c>
      <c r="D1" s="2" t="s">
        <v>15</v>
      </c>
      <c r="E1" s="15" t="s">
        <v>16</v>
      </c>
    </row>
    <row r="2" spans="1:5" x14ac:dyDescent="0.3">
      <c r="A2" s="16">
        <v>101</v>
      </c>
      <c r="B2" s="16" t="s">
        <v>23</v>
      </c>
      <c r="C2" s="16" t="s">
        <v>11</v>
      </c>
      <c r="D2" s="16">
        <v>25</v>
      </c>
      <c r="E2" s="17">
        <v>50</v>
      </c>
    </row>
    <row r="3" spans="1:5" x14ac:dyDescent="0.3">
      <c r="A3" s="18">
        <v>102</v>
      </c>
      <c r="B3" s="18" t="s">
        <v>24</v>
      </c>
      <c r="C3" s="18" t="s">
        <v>11</v>
      </c>
      <c r="D3" s="18">
        <v>35</v>
      </c>
      <c r="E3" s="19">
        <v>30</v>
      </c>
    </row>
    <row r="4" spans="1:5" x14ac:dyDescent="0.3">
      <c r="A4" s="16">
        <v>103</v>
      </c>
      <c r="B4" s="16" t="s">
        <v>25</v>
      </c>
      <c r="C4" s="16" t="s">
        <v>12</v>
      </c>
      <c r="D4" s="16">
        <v>45</v>
      </c>
      <c r="E4" s="17">
        <v>20</v>
      </c>
    </row>
    <row r="5" spans="1:5" x14ac:dyDescent="0.3">
      <c r="A5" s="18">
        <v>104</v>
      </c>
      <c r="B5" s="18" t="s">
        <v>26</v>
      </c>
      <c r="C5" s="18" t="s">
        <v>12</v>
      </c>
      <c r="D5" s="18">
        <v>55</v>
      </c>
      <c r="E5" s="19">
        <v>15</v>
      </c>
    </row>
    <row r="6" spans="1:5" x14ac:dyDescent="0.3">
      <c r="A6" s="16">
        <v>105</v>
      </c>
      <c r="B6" s="16" t="s">
        <v>27</v>
      </c>
      <c r="C6" s="16" t="s">
        <v>13</v>
      </c>
      <c r="D6" s="16">
        <v>20</v>
      </c>
      <c r="E6" s="17">
        <v>40</v>
      </c>
    </row>
    <row r="7" spans="1:5" x14ac:dyDescent="0.3">
      <c r="A7" s="18">
        <v>106</v>
      </c>
      <c r="B7" s="18" t="s">
        <v>28</v>
      </c>
      <c r="C7" s="18" t="s">
        <v>13</v>
      </c>
      <c r="D7" s="18">
        <v>30</v>
      </c>
      <c r="E7" s="19">
        <v>25</v>
      </c>
    </row>
    <row r="8" spans="1:5" x14ac:dyDescent="0.3">
      <c r="A8" s="16">
        <v>107</v>
      </c>
      <c r="B8" s="16" t="s">
        <v>29</v>
      </c>
      <c r="C8" s="16" t="s">
        <v>14</v>
      </c>
      <c r="D8" s="16">
        <v>150</v>
      </c>
      <c r="E8" s="17">
        <v>10</v>
      </c>
    </row>
    <row r="9" spans="1:5" x14ac:dyDescent="0.3">
      <c r="A9" s="18">
        <v>108</v>
      </c>
      <c r="B9" s="18" t="s">
        <v>30</v>
      </c>
      <c r="C9" s="18" t="s">
        <v>14</v>
      </c>
      <c r="D9" s="18">
        <v>200</v>
      </c>
      <c r="E9" s="19">
        <v>5</v>
      </c>
    </row>
    <row r="13" spans="1:5" x14ac:dyDescent="0.3">
      <c r="B13" s="2" t="s">
        <v>1</v>
      </c>
      <c r="C13" s="2" t="s">
        <v>31</v>
      </c>
    </row>
    <row r="14" spans="1:5" x14ac:dyDescent="0.3">
      <c r="B14" s="2" t="s">
        <v>10</v>
      </c>
      <c r="C14" s="2" t="str">
        <f>_xlfn.XLOOKUP(C13&amp;"*",B2:B9,C2:C9,,2)</f>
        <v>Home Goods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D8EC-5D35-4AE4-9A22-C173FB1A2463}">
  <dimension ref="B2:G17"/>
  <sheetViews>
    <sheetView tabSelected="1" workbookViewId="0">
      <selection activeCell="D17" sqref="D17"/>
    </sheetView>
  </sheetViews>
  <sheetFormatPr defaultRowHeight="14.4" x14ac:dyDescent="0.3"/>
  <cols>
    <col min="2" max="2" width="11.77734375" customWidth="1"/>
    <col min="3" max="3" width="15" customWidth="1"/>
    <col min="4" max="4" width="10.44140625" customWidth="1"/>
    <col min="5" max="5" width="9.33203125" customWidth="1"/>
    <col min="6" max="6" width="15.33203125" customWidth="1"/>
    <col min="7" max="7" width="10.44140625" customWidth="1"/>
  </cols>
  <sheetData>
    <row r="2" spans="2:7" x14ac:dyDescent="0.3">
      <c r="B2" s="1" t="s">
        <v>0</v>
      </c>
      <c r="C2" s="1" t="s">
        <v>1</v>
      </c>
      <c r="D2" s="1" t="s">
        <v>10</v>
      </c>
      <c r="E2" s="1" t="s">
        <v>19</v>
      </c>
      <c r="F2" s="1" t="s">
        <v>16</v>
      </c>
      <c r="G2" s="1" t="s">
        <v>34</v>
      </c>
    </row>
    <row r="3" spans="2:7" x14ac:dyDescent="0.3">
      <c r="B3">
        <v>106</v>
      </c>
      <c r="C3" t="s">
        <v>30</v>
      </c>
      <c r="D3" t="s">
        <v>33</v>
      </c>
      <c r="E3">
        <v>200</v>
      </c>
      <c r="F3">
        <v>5</v>
      </c>
    </row>
    <row r="4" spans="2:7" x14ac:dyDescent="0.3">
      <c r="B4">
        <v>107</v>
      </c>
      <c r="C4" t="s">
        <v>29</v>
      </c>
      <c r="D4" t="s">
        <v>33</v>
      </c>
      <c r="E4">
        <v>150</v>
      </c>
      <c r="F4">
        <v>10</v>
      </c>
    </row>
    <row r="5" spans="2:7" x14ac:dyDescent="0.3">
      <c r="B5">
        <v>108</v>
      </c>
      <c r="C5" t="s">
        <v>32</v>
      </c>
      <c r="D5" t="s">
        <v>12</v>
      </c>
      <c r="E5">
        <v>55</v>
      </c>
      <c r="F5">
        <v>15</v>
      </c>
    </row>
    <row r="6" spans="2:7" x14ac:dyDescent="0.3">
      <c r="B6">
        <v>109</v>
      </c>
      <c r="C6" t="s">
        <v>25</v>
      </c>
      <c r="D6" t="s">
        <v>12</v>
      </c>
      <c r="E6">
        <v>30</v>
      </c>
      <c r="F6">
        <v>20</v>
      </c>
    </row>
    <row r="7" spans="2:7" x14ac:dyDescent="0.3">
      <c r="B7">
        <v>110</v>
      </c>
      <c r="C7" t="s">
        <v>25</v>
      </c>
      <c r="D7" t="s">
        <v>12</v>
      </c>
      <c r="E7">
        <v>45</v>
      </c>
      <c r="F7">
        <v>20</v>
      </c>
    </row>
    <row r="8" spans="2:7" x14ac:dyDescent="0.3">
      <c r="B8">
        <v>111</v>
      </c>
      <c r="C8" t="s">
        <v>28</v>
      </c>
      <c r="D8" t="s">
        <v>13</v>
      </c>
      <c r="E8">
        <v>30</v>
      </c>
      <c r="F8">
        <v>25</v>
      </c>
    </row>
    <row r="9" spans="2:7" x14ac:dyDescent="0.3">
      <c r="B9">
        <v>112</v>
      </c>
      <c r="C9" t="s">
        <v>24</v>
      </c>
      <c r="D9" t="s">
        <v>11</v>
      </c>
      <c r="E9">
        <v>45</v>
      </c>
      <c r="F9">
        <v>30</v>
      </c>
    </row>
    <row r="10" spans="2:7" x14ac:dyDescent="0.3">
      <c r="B10">
        <v>113</v>
      </c>
      <c r="C10" t="s">
        <v>24</v>
      </c>
      <c r="D10" t="s">
        <v>11</v>
      </c>
      <c r="E10">
        <v>35</v>
      </c>
      <c r="F10">
        <v>30</v>
      </c>
    </row>
    <row r="11" spans="2:7" x14ac:dyDescent="0.3">
      <c r="B11">
        <v>114</v>
      </c>
      <c r="C11" t="s">
        <v>27</v>
      </c>
      <c r="D11" t="s">
        <v>13</v>
      </c>
      <c r="E11">
        <v>20</v>
      </c>
      <c r="F11">
        <v>40</v>
      </c>
    </row>
    <row r="12" spans="2:7" x14ac:dyDescent="0.3">
      <c r="B12">
        <v>115</v>
      </c>
      <c r="C12" t="s">
        <v>23</v>
      </c>
      <c r="D12" t="s">
        <v>11</v>
      </c>
      <c r="E12">
        <v>25</v>
      </c>
      <c r="F12">
        <v>50</v>
      </c>
    </row>
    <row r="15" spans="2:7" x14ac:dyDescent="0.3">
      <c r="C15" t="s">
        <v>1</v>
      </c>
      <c r="D15" t="s">
        <v>24</v>
      </c>
    </row>
    <row r="16" spans="2:7" x14ac:dyDescent="0.3">
      <c r="C16" t="s">
        <v>19</v>
      </c>
      <c r="D16">
        <f>_xlfn.XLOOKUP(D15,Table5[Product Name],Table5[Price($)],,,-2)</f>
        <v>35</v>
      </c>
    </row>
    <row r="17" spans="3:4" x14ac:dyDescent="0.3">
      <c r="C17" t="s">
        <v>16</v>
      </c>
      <c r="D17">
        <f>_xlfn.XLOOKUP(C9,Table5[Product Name],Table5[Stock Quantity],,,-2)</f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</vt:lpstr>
      <vt:lpstr>Poduct Sales</vt:lpstr>
      <vt:lpstr>XLOOKUP</vt:lpstr>
      <vt:lpstr>Wildcard Characters</vt:lpstr>
      <vt:lpstr>Search 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Alam</dc:creator>
  <cp:lastModifiedBy>Ayaz Alam</cp:lastModifiedBy>
  <dcterms:created xsi:type="dcterms:W3CDTF">2026-04-07T16:35:57Z</dcterms:created>
  <dcterms:modified xsi:type="dcterms:W3CDTF">2026-04-07T17:23:34Z</dcterms:modified>
</cp:coreProperties>
</file>