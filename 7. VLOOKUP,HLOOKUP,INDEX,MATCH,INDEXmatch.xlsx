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B9795ED4-3A73-48D4-937C-206ED3D41477}" xr6:coauthVersionLast="47" xr6:coauthVersionMax="47" xr10:uidLastSave="{00000000-0000-0000-0000-000000000000}"/>
  <bookViews>
    <workbookView xWindow="11424" yWindow="0" windowWidth="11712" windowHeight="12336" xr2:uid="{E57B8244-8299-4010-A61A-9BB49414B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1" i="1" l="1"/>
  <c r="F92" i="1"/>
  <c r="F93" i="1"/>
  <c r="F94" i="1"/>
  <c r="F90" i="1"/>
  <c r="B78" i="1"/>
  <c r="B79" i="1"/>
  <c r="B80" i="1"/>
  <c r="B77" i="1"/>
  <c r="F64" i="1"/>
  <c r="F65" i="1"/>
  <c r="F66" i="1"/>
  <c r="F67" i="1"/>
  <c r="F68" i="1"/>
  <c r="F63" i="1"/>
  <c r="C74" i="1"/>
  <c r="D74" i="1"/>
  <c r="E74" i="1"/>
  <c r="B74" i="1"/>
  <c r="C68" i="1"/>
  <c r="D68" i="1"/>
  <c r="E68" i="1"/>
  <c r="B68" i="1"/>
  <c r="C55" i="1" a="1"/>
  <c r="C55" i="1" s="1"/>
  <c r="B34" i="1"/>
  <c r="C34" i="1"/>
  <c r="D34" i="1"/>
  <c r="E34" i="1"/>
  <c r="C33" i="1"/>
  <c r="D33" i="1"/>
  <c r="E33" i="1"/>
  <c r="B33" i="1"/>
  <c r="E9" i="1"/>
  <c r="E6" i="1"/>
  <c r="E7" i="1"/>
  <c r="E8" i="1"/>
  <c r="E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<sst xmlns="http://schemas.openxmlformats.org/spreadsheetml/2006/main" count="107" uniqueCount="45">
  <si>
    <t>VLOOKUP</t>
  </si>
  <si>
    <t>Name</t>
  </si>
  <si>
    <t>Computer</t>
  </si>
  <si>
    <t>Geography</t>
  </si>
  <si>
    <t>English</t>
  </si>
  <si>
    <t>Maths</t>
  </si>
  <si>
    <t>Jaya</t>
  </si>
  <si>
    <t>Maya</t>
  </si>
  <si>
    <t>Yash</t>
  </si>
  <si>
    <t>Sam</t>
  </si>
  <si>
    <t>Trina</t>
  </si>
  <si>
    <t>Names</t>
  </si>
  <si>
    <t>Marks</t>
  </si>
  <si>
    <t>Purva</t>
  </si>
  <si>
    <t>Tarun</t>
  </si>
  <si>
    <t>Raghav</t>
  </si>
  <si>
    <t>HLOOKUP</t>
  </si>
  <si>
    <t>HLOOKUP(B27,A38:E40,2,0)</t>
  </si>
  <si>
    <t>VLOOKUP(A6,A14:B21,2,0)</t>
  </si>
  <si>
    <t>INDEX</t>
  </si>
  <si>
    <t>Student 1</t>
  </si>
  <si>
    <t>Student 2</t>
  </si>
  <si>
    <t>Student 3</t>
  </si>
  <si>
    <t>Student 4</t>
  </si>
  <si>
    <t>Student 5</t>
  </si>
  <si>
    <t>Comp</t>
  </si>
  <si>
    <t>Geo</t>
  </si>
  <si>
    <t>Eng</t>
  </si>
  <si>
    <t>Enter Subject num:</t>
  </si>
  <si>
    <t>Enter Subject:</t>
  </si>
  <si>
    <t>Marks Attained:</t>
  </si>
  <si>
    <t>INDEX(B47:E51,C53,D54)</t>
  </si>
  <si>
    <t>MATCH</t>
  </si>
  <si>
    <t>MAX in any subject</t>
  </si>
  <si>
    <t>MAX</t>
  </si>
  <si>
    <t>Which student scored max num?</t>
  </si>
  <si>
    <t>Student num</t>
  </si>
  <si>
    <t>Subject number</t>
  </si>
  <si>
    <t>MATCH(F63,B63:E63,0)</t>
  </si>
  <si>
    <t>MATCH(E68,E63:E67,0)</t>
  </si>
  <si>
    <t>Chemistry</t>
  </si>
  <si>
    <t>Student 6</t>
  </si>
  <si>
    <t>Student 7</t>
  </si>
  <si>
    <t>Student 8</t>
  </si>
  <si>
    <t>INDEX(A98:B105,MATCH(A90,A98:A105,0),2)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</si>
</sst>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02BD-12EF-4D00-A031-BBC493BC17CB}">
  <dimension ref="A2:G105"/>
  <sheetViews>
    <sheetView tabSelected="1" topLeftCell="A88" zoomScale="140" zoomScaleNormal="140" workbookViewId="0">
      <selection activeCell="E102" sqref="E102"/>
    </sheetView>
  </sheetViews>
  <sheetFormatPr defaultRowHeight="14.4" x14ac:dyDescent="0.3"/>
  <cols>
    <col min="1" max="1" width="13.44140625" customWidth="1"/>
    <col min="2" max="2" width="13.6640625" customWidth="1"/>
    <col min="3" max="3" width="10.109375" customWidth="1"/>
    <col min="6" max="6" width="18.88671875" customWidth="1"/>
  </cols>
  <sheetData>
    <row r="2" spans="1:7" ht="18" x14ac:dyDescent="0.35">
      <c r="A2" s="1" t="s">
        <v>0</v>
      </c>
    </row>
    <row r="4" spans="1:7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7" x14ac:dyDescent="0.3">
      <c r="A5" t="s">
        <v>6</v>
      </c>
      <c r="B5">
        <v>80</v>
      </c>
      <c r="C5">
        <v>89</v>
      </c>
      <c r="D5">
        <v>92</v>
      </c>
      <c r="E5">
        <f>VLOOKUP(A5,A13:B20,2,0)</f>
        <v>89</v>
      </c>
    </row>
    <row r="6" spans="1:7" x14ac:dyDescent="0.3">
      <c r="A6" t="s">
        <v>7</v>
      </c>
      <c r="B6">
        <v>78</v>
      </c>
      <c r="C6">
        <v>85</v>
      </c>
      <c r="D6">
        <v>82</v>
      </c>
      <c r="E6">
        <f t="shared" ref="E6:E8" si="0">VLOOKUP(A6,A14:B21,2,0)</f>
        <v>90</v>
      </c>
    </row>
    <row r="7" spans="1:7" x14ac:dyDescent="0.3">
      <c r="A7" t="s">
        <v>8</v>
      </c>
      <c r="B7">
        <v>90</v>
      </c>
      <c r="C7">
        <v>92</v>
      </c>
      <c r="D7">
        <v>95</v>
      </c>
      <c r="E7">
        <f t="shared" si="0"/>
        <v>87</v>
      </c>
      <c r="G7" t="s">
        <v>18</v>
      </c>
    </row>
    <row r="8" spans="1:7" x14ac:dyDescent="0.3">
      <c r="A8" t="s">
        <v>9</v>
      </c>
      <c r="B8">
        <v>92</v>
      </c>
      <c r="C8">
        <v>95</v>
      </c>
      <c r="D8">
        <v>89</v>
      </c>
      <c r="E8">
        <f t="shared" si="0"/>
        <v>68</v>
      </c>
    </row>
    <row r="9" spans="1:7" x14ac:dyDescent="0.3">
      <c r="A9" t="s">
        <v>10</v>
      </c>
      <c r="B9">
        <v>58</v>
      </c>
      <c r="C9">
        <v>78</v>
      </c>
      <c r="D9">
        <v>69</v>
      </c>
      <c r="E9">
        <f>VLOOKUP(A14,A13:B20,2,0)</f>
        <v>76</v>
      </c>
    </row>
    <row r="12" spans="1:7" x14ac:dyDescent="0.3">
      <c r="A12" s="2" t="s">
        <v>11</v>
      </c>
      <c r="B12" s="2" t="s">
        <v>12</v>
      </c>
    </row>
    <row r="13" spans="1:7" x14ac:dyDescent="0.3">
      <c r="A13" t="s">
        <v>6</v>
      </c>
      <c r="B13">
        <v>89</v>
      </c>
    </row>
    <row r="14" spans="1:7" x14ac:dyDescent="0.3">
      <c r="A14" t="s">
        <v>10</v>
      </c>
      <c r="B14">
        <v>76</v>
      </c>
    </row>
    <row r="15" spans="1:7" x14ac:dyDescent="0.3">
      <c r="A15" t="s">
        <v>7</v>
      </c>
      <c r="B15">
        <v>90</v>
      </c>
    </row>
    <row r="16" spans="1:7" x14ac:dyDescent="0.3">
      <c r="A16" t="s">
        <v>9</v>
      </c>
      <c r="B16">
        <v>68</v>
      </c>
    </row>
    <row r="17" spans="1:5" x14ac:dyDescent="0.3">
      <c r="A17" t="s">
        <v>8</v>
      </c>
      <c r="B17">
        <v>87</v>
      </c>
    </row>
    <row r="18" spans="1:5" x14ac:dyDescent="0.3">
      <c r="A18" t="s">
        <v>13</v>
      </c>
      <c r="B18">
        <v>81</v>
      </c>
    </row>
    <row r="19" spans="1:5" x14ac:dyDescent="0.3">
      <c r="A19" t="s">
        <v>14</v>
      </c>
      <c r="B19">
        <v>92</v>
      </c>
    </row>
    <row r="20" spans="1:5" x14ac:dyDescent="0.3">
      <c r="A20" t="s">
        <v>15</v>
      </c>
      <c r="B20">
        <v>79</v>
      </c>
    </row>
    <row r="25" spans="1:5" ht="18" x14ac:dyDescent="0.35">
      <c r="A25" s="1" t="s">
        <v>16</v>
      </c>
    </row>
    <row r="27" spans="1:5" x14ac:dyDescent="0.3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</row>
    <row r="28" spans="1:5" x14ac:dyDescent="0.3">
      <c r="A28" t="s">
        <v>6</v>
      </c>
      <c r="B28">
        <v>80</v>
      </c>
      <c r="C28">
        <v>89</v>
      </c>
      <c r="D28">
        <v>92</v>
      </c>
      <c r="E28">
        <v>89</v>
      </c>
    </row>
    <row r="29" spans="1:5" x14ac:dyDescent="0.3">
      <c r="A29" t="s">
        <v>7</v>
      </c>
      <c r="B29">
        <v>78</v>
      </c>
      <c r="C29">
        <v>85</v>
      </c>
      <c r="D29">
        <v>82</v>
      </c>
      <c r="E29">
        <v>90</v>
      </c>
    </row>
    <row r="30" spans="1:5" x14ac:dyDescent="0.3">
      <c r="A30" t="s">
        <v>8</v>
      </c>
      <c r="B30">
        <v>90</v>
      </c>
      <c r="C30">
        <v>92</v>
      </c>
      <c r="D30">
        <v>95</v>
      </c>
      <c r="E30">
        <v>87</v>
      </c>
    </row>
    <row r="31" spans="1:5" x14ac:dyDescent="0.3">
      <c r="A31" t="s">
        <v>9</v>
      </c>
      <c r="B31">
        <v>92</v>
      </c>
      <c r="C31">
        <v>95</v>
      </c>
      <c r="D31">
        <v>89</v>
      </c>
      <c r="E31">
        <v>68</v>
      </c>
    </row>
    <row r="32" spans="1:5" x14ac:dyDescent="0.3">
      <c r="A32" t="s">
        <v>10</v>
      </c>
      <c r="B32">
        <v>58</v>
      </c>
      <c r="C32">
        <v>78</v>
      </c>
      <c r="D32">
        <v>69</v>
      </c>
      <c r="E32">
        <v>76</v>
      </c>
    </row>
    <row r="33" spans="1:7" x14ac:dyDescent="0.3">
      <c r="A33" t="s">
        <v>8</v>
      </c>
      <c r="B33">
        <f>HLOOKUP(B27,A38:E40,2,0)</f>
        <v>89</v>
      </c>
      <c r="C33">
        <f t="shared" ref="C33:E33" si="1">HLOOKUP(C27,B38:F40,2,0)</f>
        <v>91</v>
      </c>
      <c r="D33">
        <f t="shared" si="1"/>
        <v>92</v>
      </c>
      <c r="E33">
        <f t="shared" si="1"/>
        <v>85</v>
      </c>
    </row>
    <row r="34" spans="1:7" x14ac:dyDescent="0.3">
      <c r="A34" t="s">
        <v>13</v>
      </c>
      <c r="B34">
        <f>HLOOKUP(B27,A38:E40,2,0)</f>
        <v>89</v>
      </c>
      <c r="C34">
        <f t="shared" ref="C34:E34" si="2">HLOOKUP(C27,B38:F40,2,0)</f>
        <v>91</v>
      </c>
      <c r="D34">
        <f t="shared" si="2"/>
        <v>92</v>
      </c>
      <c r="E34">
        <f t="shared" si="2"/>
        <v>85</v>
      </c>
      <c r="G34" t="s">
        <v>17</v>
      </c>
    </row>
    <row r="38" spans="1:7" x14ac:dyDescent="0.3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</row>
    <row r="39" spans="1:7" x14ac:dyDescent="0.3">
      <c r="A39" t="s">
        <v>8</v>
      </c>
      <c r="B39">
        <v>89</v>
      </c>
      <c r="C39">
        <v>91</v>
      </c>
      <c r="D39">
        <v>92</v>
      </c>
      <c r="E39">
        <v>85</v>
      </c>
    </row>
    <row r="40" spans="1:7" x14ac:dyDescent="0.3">
      <c r="A40" t="s">
        <v>13</v>
      </c>
      <c r="B40">
        <v>89</v>
      </c>
      <c r="C40">
        <v>92</v>
      </c>
      <c r="D40">
        <v>95</v>
      </c>
      <c r="E40">
        <v>87</v>
      </c>
    </row>
    <row r="44" spans="1:7" x14ac:dyDescent="0.3">
      <c r="A44" t="s">
        <v>19</v>
      </c>
    </row>
    <row r="46" spans="1:7" x14ac:dyDescent="0.3">
      <c r="A46" t="s">
        <v>1</v>
      </c>
      <c r="B46" t="s">
        <v>25</v>
      </c>
      <c r="C46" t="s">
        <v>26</v>
      </c>
      <c r="D46" t="s">
        <v>27</v>
      </c>
      <c r="E46" t="s">
        <v>5</v>
      </c>
    </row>
    <row r="47" spans="1:7" x14ac:dyDescent="0.3">
      <c r="A47" t="s">
        <v>20</v>
      </c>
      <c r="B47">
        <v>80</v>
      </c>
      <c r="C47">
        <v>89</v>
      </c>
      <c r="D47">
        <v>92</v>
      </c>
      <c r="E47">
        <v>89</v>
      </c>
    </row>
    <row r="48" spans="1:7" x14ac:dyDescent="0.3">
      <c r="A48" t="s">
        <v>21</v>
      </c>
      <c r="B48">
        <v>78</v>
      </c>
      <c r="C48">
        <v>85</v>
      </c>
      <c r="D48">
        <v>82</v>
      </c>
      <c r="E48">
        <v>90</v>
      </c>
    </row>
    <row r="49" spans="1:7" x14ac:dyDescent="0.3">
      <c r="A49" t="s">
        <v>22</v>
      </c>
      <c r="B49">
        <v>90</v>
      </c>
      <c r="C49">
        <v>92</v>
      </c>
      <c r="D49">
        <v>95</v>
      </c>
      <c r="E49">
        <v>87</v>
      </c>
    </row>
    <row r="50" spans="1:7" x14ac:dyDescent="0.3">
      <c r="A50" t="s">
        <v>23</v>
      </c>
      <c r="B50">
        <v>92</v>
      </c>
      <c r="C50">
        <v>95</v>
      </c>
      <c r="D50">
        <v>89</v>
      </c>
      <c r="E50">
        <v>68</v>
      </c>
    </row>
    <row r="51" spans="1:7" x14ac:dyDescent="0.3">
      <c r="A51" t="s">
        <v>24</v>
      </c>
      <c r="B51">
        <v>58</v>
      </c>
      <c r="C51">
        <v>78</v>
      </c>
      <c r="D51">
        <v>69</v>
      </c>
      <c r="E51">
        <v>76</v>
      </c>
    </row>
    <row r="53" spans="1:7" x14ac:dyDescent="0.3">
      <c r="A53" t="s">
        <v>28</v>
      </c>
      <c r="C53">
        <v>1</v>
      </c>
      <c r="F53" t="s">
        <v>31</v>
      </c>
    </row>
    <row r="54" spans="1:7" x14ac:dyDescent="0.3">
      <c r="A54" t="s">
        <v>29</v>
      </c>
      <c r="C54" t="s">
        <v>2</v>
      </c>
      <c r="D54">
        <v>1</v>
      </c>
    </row>
    <row r="55" spans="1:7" x14ac:dyDescent="0.3">
      <c r="A55" t="s">
        <v>30</v>
      </c>
      <c r="C55" cm="1">
        <f t="array" ref="C55">INDEX(B47:E51,C53,D54)</f>
        <v>80</v>
      </c>
    </row>
    <row r="60" spans="1:7" x14ac:dyDescent="0.3">
      <c r="A60" t="s">
        <v>32</v>
      </c>
    </row>
    <row r="62" spans="1:7" x14ac:dyDescent="0.3">
      <c r="A62" s="2" t="s">
        <v>1</v>
      </c>
      <c r="B62" s="2" t="s">
        <v>25</v>
      </c>
      <c r="C62" s="2" t="s">
        <v>26</v>
      </c>
      <c r="D62" s="2" t="s">
        <v>27</v>
      </c>
      <c r="E62" s="2" t="s">
        <v>5</v>
      </c>
      <c r="F62" s="2" t="s">
        <v>33</v>
      </c>
      <c r="G62" s="2"/>
    </row>
    <row r="63" spans="1:7" x14ac:dyDescent="0.3">
      <c r="A63" t="s">
        <v>20</v>
      </c>
      <c r="B63">
        <v>80</v>
      </c>
      <c r="C63">
        <v>89</v>
      </c>
      <c r="D63">
        <v>92</v>
      </c>
      <c r="E63">
        <v>89</v>
      </c>
      <c r="F63">
        <f>MAX(B63:E63)</f>
        <v>92</v>
      </c>
    </row>
    <row r="64" spans="1:7" x14ac:dyDescent="0.3">
      <c r="A64" t="s">
        <v>21</v>
      </c>
      <c r="B64">
        <v>78</v>
      </c>
      <c r="C64">
        <v>85</v>
      </c>
      <c r="D64">
        <v>82</v>
      </c>
      <c r="E64">
        <v>90</v>
      </c>
      <c r="F64">
        <f t="shared" ref="F64:F68" si="3">MAX(B64:E64)</f>
        <v>90</v>
      </c>
    </row>
    <row r="65" spans="1:7" x14ac:dyDescent="0.3">
      <c r="A65" t="s">
        <v>22</v>
      </c>
      <c r="B65">
        <v>90</v>
      </c>
      <c r="C65">
        <v>92</v>
      </c>
      <c r="D65">
        <v>95</v>
      </c>
      <c r="E65">
        <v>87</v>
      </c>
      <c r="F65">
        <f t="shared" si="3"/>
        <v>95</v>
      </c>
    </row>
    <row r="66" spans="1:7" x14ac:dyDescent="0.3">
      <c r="A66" t="s">
        <v>23</v>
      </c>
      <c r="B66">
        <v>92</v>
      </c>
      <c r="C66">
        <v>95</v>
      </c>
      <c r="D66">
        <v>89</v>
      </c>
      <c r="E66">
        <v>68</v>
      </c>
      <c r="F66">
        <f t="shared" si="3"/>
        <v>95</v>
      </c>
    </row>
    <row r="67" spans="1:7" x14ac:dyDescent="0.3">
      <c r="A67" t="s">
        <v>24</v>
      </c>
      <c r="B67">
        <v>58</v>
      </c>
      <c r="C67">
        <v>78</v>
      </c>
      <c r="D67">
        <v>69</v>
      </c>
      <c r="E67">
        <v>76</v>
      </c>
      <c r="F67">
        <f t="shared" si="3"/>
        <v>78</v>
      </c>
    </row>
    <row r="68" spans="1:7" x14ac:dyDescent="0.3">
      <c r="A68" t="s">
        <v>34</v>
      </c>
      <c r="B68">
        <f>MAX(B63:B67)</f>
        <v>92</v>
      </c>
      <c r="C68">
        <f t="shared" ref="C68:E68" si="4">MAX(C63:C67)</f>
        <v>95</v>
      </c>
      <c r="D68">
        <f t="shared" si="4"/>
        <v>95</v>
      </c>
      <c r="E68">
        <f t="shared" si="4"/>
        <v>90</v>
      </c>
      <c r="F68">
        <f t="shared" si="3"/>
        <v>95</v>
      </c>
    </row>
    <row r="71" spans="1:7" x14ac:dyDescent="0.3">
      <c r="A71" t="s">
        <v>35</v>
      </c>
    </row>
    <row r="73" spans="1:7" x14ac:dyDescent="0.3">
      <c r="A73" s="3"/>
      <c r="B73" s="4" t="s">
        <v>25</v>
      </c>
      <c r="C73" s="4" t="s">
        <v>26</v>
      </c>
      <c r="D73" s="4" t="s">
        <v>27</v>
      </c>
      <c r="E73" s="4" t="s">
        <v>5</v>
      </c>
    </row>
    <row r="74" spans="1:7" x14ac:dyDescent="0.3">
      <c r="A74" s="4" t="s">
        <v>36</v>
      </c>
      <c r="B74" s="3">
        <f>MATCH(B68,B63:B67,0)</f>
        <v>4</v>
      </c>
      <c r="C74" s="3">
        <f>MATCH(C68,C63:C67,0)</f>
        <v>4</v>
      </c>
      <c r="D74" s="3">
        <f t="shared" ref="C74:E74" si="5">MATCH(D68,D63:D67,0)</f>
        <v>3</v>
      </c>
      <c r="E74" s="3">
        <f t="shared" si="5"/>
        <v>2</v>
      </c>
      <c r="G74" t="s">
        <v>39</v>
      </c>
    </row>
    <row r="76" spans="1:7" x14ac:dyDescent="0.3">
      <c r="A76" s="3"/>
      <c r="B76" s="3" t="s">
        <v>37</v>
      </c>
    </row>
    <row r="77" spans="1:7" x14ac:dyDescent="0.3">
      <c r="A77" s="3" t="s">
        <v>20</v>
      </c>
      <c r="B77" s="3">
        <f>MATCH(F63,B63:E63,0)</f>
        <v>3</v>
      </c>
    </row>
    <row r="78" spans="1:7" x14ac:dyDescent="0.3">
      <c r="A78" s="3" t="s">
        <v>21</v>
      </c>
      <c r="B78" s="3">
        <f t="shared" ref="B78:B80" si="6">MATCH(F64,B64:E64,0)</f>
        <v>4</v>
      </c>
      <c r="D78" t="s">
        <v>38</v>
      </c>
    </row>
    <row r="79" spans="1:7" x14ac:dyDescent="0.3">
      <c r="A79" s="3" t="s">
        <v>22</v>
      </c>
      <c r="B79" s="3">
        <f t="shared" si="6"/>
        <v>3</v>
      </c>
    </row>
    <row r="80" spans="1:7" x14ac:dyDescent="0.3">
      <c r="A80" s="3" t="s">
        <v>23</v>
      </c>
      <c r="B80" s="3">
        <f t="shared" si="6"/>
        <v>2</v>
      </c>
    </row>
    <row r="89" spans="1:6" x14ac:dyDescent="0.3">
      <c r="A89" s="2" t="s">
        <v>1</v>
      </c>
      <c r="B89" s="2" t="s">
        <v>25</v>
      </c>
      <c r="C89" s="2" t="s">
        <v>26</v>
      </c>
      <c r="D89" s="2" t="s">
        <v>27</v>
      </c>
      <c r="E89" s="2" t="s">
        <v>5</v>
      </c>
      <c r="F89" s="2" t="s">
        <v>40</v>
      </c>
    </row>
    <row r="90" spans="1:6" x14ac:dyDescent="0.3">
      <c r="A90" t="s">
        <v>20</v>
      </c>
      <c r="B90">
        <v>80</v>
      </c>
      <c r="C90">
        <v>89</v>
      </c>
      <c r="D90">
        <v>92</v>
      </c>
      <c r="E90">
        <v>89</v>
      </c>
      <c r="F90">
        <f>INDEX(A98:B105,MATCH(A90,A98:A105,0),2)</f>
        <v>89</v>
      </c>
    </row>
    <row r="91" spans="1:6" x14ac:dyDescent="0.3">
      <c r="A91" t="s">
        <v>21</v>
      </c>
      <c r="B91">
        <v>78</v>
      </c>
      <c r="C91">
        <v>85</v>
      </c>
      <c r="D91">
        <v>82</v>
      </c>
      <c r="E91">
        <v>90</v>
      </c>
      <c r="F91">
        <f t="shared" ref="F91:F94" si="7">INDEX(A99:B106,MATCH(A91,A99:A106,0),2)</f>
        <v>76</v>
      </c>
    </row>
    <row r="92" spans="1:6" x14ac:dyDescent="0.3">
      <c r="A92" t="s">
        <v>22</v>
      </c>
      <c r="B92">
        <v>90</v>
      </c>
      <c r="C92">
        <v>92</v>
      </c>
      <c r="D92">
        <v>95</v>
      </c>
      <c r="E92">
        <v>87</v>
      </c>
      <c r="F92">
        <f t="shared" si="7"/>
        <v>90</v>
      </c>
    </row>
    <row r="93" spans="1:6" x14ac:dyDescent="0.3">
      <c r="A93" t="s">
        <v>23</v>
      </c>
      <c r="B93">
        <v>92</v>
      </c>
      <c r="C93">
        <v>95</v>
      </c>
      <c r="D93">
        <v>89</v>
      </c>
      <c r="E93">
        <v>68</v>
      </c>
      <c r="F93">
        <f t="shared" si="7"/>
        <v>68</v>
      </c>
    </row>
    <row r="94" spans="1:6" x14ac:dyDescent="0.3">
      <c r="A94" t="s">
        <v>24</v>
      </c>
      <c r="B94">
        <v>58</v>
      </c>
      <c r="C94">
        <v>78</v>
      </c>
      <c r="D94">
        <v>69</v>
      </c>
      <c r="E94">
        <v>76</v>
      </c>
      <c r="F94">
        <f t="shared" si="7"/>
        <v>87</v>
      </c>
    </row>
    <row r="97" spans="1:5" x14ac:dyDescent="0.3">
      <c r="A97" s="2" t="s">
        <v>1</v>
      </c>
      <c r="B97" t="s">
        <v>12</v>
      </c>
    </row>
    <row r="98" spans="1:5" x14ac:dyDescent="0.3">
      <c r="A98" t="s">
        <v>20</v>
      </c>
      <c r="B98">
        <v>89</v>
      </c>
    </row>
    <row r="99" spans="1:5" x14ac:dyDescent="0.3">
      <c r="A99" t="s">
        <v>21</v>
      </c>
      <c r="B99">
        <v>76</v>
      </c>
      <c r="E99" t="s">
        <v>44</v>
      </c>
    </row>
    <row r="100" spans="1:5" x14ac:dyDescent="0.3">
      <c r="A100" t="s">
        <v>22</v>
      </c>
      <c r="B100">
        <v>90</v>
      </c>
    </row>
    <row r="101" spans="1:5" x14ac:dyDescent="0.3">
      <c r="A101" t="s">
        <v>23</v>
      </c>
      <c r="B101">
        <v>68</v>
      </c>
    </row>
    <row r="102" spans="1:5" x14ac:dyDescent="0.3">
      <c r="A102" t="s">
        <v>24</v>
      </c>
      <c r="B102">
        <v>87</v>
      </c>
    </row>
    <row r="103" spans="1:5" x14ac:dyDescent="0.3">
      <c r="A103" t="s">
        <v>41</v>
      </c>
      <c r="B103">
        <v>81</v>
      </c>
    </row>
    <row r="104" spans="1:5" x14ac:dyDescent="0.3">
      <c r="A104" t="s">
        <v>42</v>
      </c>
      <c r="B104">
        <v>92</v>
      </c>
    </row>
    <row r="105" spans="1:5" x14ac:dyDescent="0.3">
      <c r="A105" t="s">
        <v>43</v>
      </c>
      <c r="B105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2026-04-06T15:21:04Z</dcterms:created>
  <dcterms:modified xsi:type="dcterms:W3CDTF">2026-04-07T15:20:54Z</dcterms:modified>
</cp:coreProperties>
</file>